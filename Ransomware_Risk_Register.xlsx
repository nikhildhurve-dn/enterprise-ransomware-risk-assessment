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coring Guide" sheetId="2" state="visible" r:id="rId2"/>
  </sheets>
  <definedNames>
    <definedName name="_xlnm._FilterDatabase" localSheetId="0" hidden="1">'Risk Register'!$A$1:$M$11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7" customWidth="1" min="3" max="3"/>
    <col width="15" customWidth="1" min="4" max="4"/>
    <col width="12" customWidth="1" min="5" max="5"/>
    <col width="14" customWidth="1" min="6" max="6"/>
    <col width="15" customWidth="1" min="7" max="7"/>
    <col width="48" customWidth="1" min="8" max="8"/>
    <col width="27" customWidth="1" min="9" max="9"/>
    <col width="24" customWidth="1" min="10" max="10"/>
    <col width="15" customWidth="1" min="11" max="11"/>
    <col width="22" customWidth="1" min="12" max="12"/>
    <col width="42" customWidth="1" min="13" max="13"/>
  </cols>
  <sheetData>
    <row r="1" ht="36" customHeight="1">
      <c r="A1" s="1" t="inlineStr">
        <is>
          <t>Risk ID</t>
        </is>
      </c>
      <c r="B1" s="1" t="inlineStr">
        <is>
          <t>Risk Scenario</t>
        </is>
      </c>
      <c r="C1" s="1" t="inlineStr">
        <is>
          <t>Assets / Business Area</t>
        </is>
      </c>
      <c r="D1" s="1" t="inlineStr">
        <is>
          <t>Likelihood (1-5)</t>
        </is>
      </c>
      <c r="E1" s="1" t="inlineStr">
        <is>
          <t>Impact (1-5)</t>
        </is>
      </c>
      <c r="F1" s="1" t="inlineStr">
        <is>
          <t>Inherent Score</t>
        </is>
      </c>
      <c r="G1" s="1" t="inlineStr">
        <is>
          <t>Inherent Level</t>
        </is>
      </c>
      <c r="H1" s="1" t="inlineStr">
        <is>
          <t>Recommended Controls / Treatment</t>
        </is>
      </c>
      <c r="I1" s="1" t="inlineStr">
        <is>
          <t>NIST CSF 2.0 Mapping</t>
        </is>
      </c>
      <c r="J1" s="1" t="inlineStr">
        <is>
          <t>Suggested Owner Role</t>
        </is>
      </c>
      <c r="K1" s="1" t="inlineStr">
        <is>
          <t>Target Date</t>
        </is>
      </c>
      <c r="L1" s="1" t="inlineStr">
        <is>
          <t>Illustrative Residual Risk</t>
        </is>
      </c>
      <c r="M1" s="1" t="inlineStr">
        <is>
          <t>Next Action</t>
        </is>
      </c>
    </row>
    <row r="2" ht="62" customHeight="1">
      <c r="A2" s="2" t="inlineStr">
        <is>
          <t>R01</t>
        </is>
      </c>
      <c r="B2" s="2" t="inlineStr">
        <is>
          <t>Phishing email leads to credential theft or malware execution</t>
        </is>
      </c>
      <c r="C2" s="2" t="inlineStr">
        <is>
          <t>Email users and endpoints</t>
        </is>
      </c>
      <c r="D2" s="2" t="n">
        <v>4</v>
      </c>
      <c r="E2" s="2" t="n">
        <v>5</v>
      </c>
      <c r="F2" s="2">
        <f>D2*E2</f>
        <v/>
      </c>
      <c r="G2" s="2">
        <f>IF(F2&gt;=15,"High",IF(F2&gt;=6,"Medium","Low"))</f>
        <v/>
      </c>
      <c r="H2" s="2" t="inlineStr">
        <is>
          <t>Email filtering; phishing-awareness training; MFA; report-phishing process</t>
        </is>
      </c>
      <c r="I2" s="2" t="inlineStr">
        <is>
          <t>Protect / Detect</t>
        </is>
      </c>
      <c r="J2" s="2" t="inlineStr">
        <is>
          <t>IT Security Lead</t>
        </is>
      </c>
      <c r="K2" s="2" t="inlineStr">
        <is>
          <t>30 days</t>
        </is>
      </c>
      <c r="L2" s="2" t="inlineStr">
        <is>
          <t>Medium</t>
        </is>
      </c>
      <c r="M2" s="2" t="inlineStr">
        <is>
          <t>Enable MFA and run a phishing-awareness session</t>
        </is>
      </c>
    </row>
    <row r="3" ht="62" customHeight="1">
      <c r="A3" s="2" t="inlineStr">
        <is>
          <t>R02</t>
        </is>
      </c>
      <c r="B3" s="2" t="inlineStr">
        <is>
          <t>Unpatched operating system or application is exploited</t>
        </is>
      </c>
      <c r="C3" s="2" t="inlineStr">
        <is>
          <t>Servers and workstations</t>
        </is>
      </c>
      <c r="D3" s="2" t="n">
        <v>4</v>
      </c>
      <c r="E3" s="2" t="n">
        <v>4</v>
      </c>
      <c r="F3" s="2">
        <f>D3*E3</f>
        <v/>
      </c>
      <c r="G3" s="2">
        <f>IF(F3&gt;=15,"High",IF(F3&gt;=6,"Medium","Low"))</f>
        <v/>
      </c>
      <c r="H3" s="2" t="inlineStr">
        <is>
          <t>Asset inventory; risk-based patching; vulnerability scanning</t>
        </is>
      </c>
      <c r="I3" s="2" t="inlineStr">
        <is>
          <t>Identify / Protect</t>
        </is>
      </c>
      <c r="J3" s="2" t="inlineStr">
        <is>
          <t>IT Operations</t>
        </is>
      </c>
      <c r="K3" s="2" t="inlineStr">
        <is>
          <t>30 days</t>
        </is>
      </c>
      <c r="L3" s="2" t="inlineStr">
        <is>
          <t>Medium</t>
        </is>
      </c>
      <c r="M3" s="2" t="inlineStr">
        <is>
          <t>Prioritize critical and internet-facing assets</t>
        </is>
      </c>
    </row>
    <row r="4" ht="62" customHeight="1">
      <c r="A4" s="2" t="inlineStr">
        <is>
          <t>R03</t>
        </is>
      </c>
      <c r="B4" s="2" t="inlineStr">
        <is>
          <t>Ransomware spreads laterally across the network</t>
        </is>
      </c>
      <c r="C4" s="2" t="inlineStr">
        <is>
          <t>Endpoints, file shares, servers</t>
        </is>
      </c>
      <c r="D4" s="2" t="n">
        <v>3</v>
      </c>
      <c r="E4" s="2" t="n">
        <v>5</v>
      </c>
      <c r="F4" s="2">
        <f>D4*E4</f>
        <v/>
      </c>
      <c r="G4" s="2">
        <f>IF(F4&gt;=15,"High",IF(F4&gt;=6,"Medium","Low"))</f>
        <v/>
      </c>
      <c r="H4" s="2" t="inlineStr">
        <is>
          <t>Network segmentation; endpoint detection; least privilege; restrict admin tools</t>
        </is>
      </c>
      <c r="I4" s="2" t="inlineStr">
        <is>
          <t>Protect / Detect</t>
        </is>
      </c>
      <c r="J4" s="2" t="inlineStr">
        <is>
          <t>Network Administrator</t>
        </is>
      </c>
      <c r="K4" s="2" t="inlineStr">
        <is>
          <t>60 days</t>
        </is>
      </c>
      <c r="L4" s="2" t="inlineStr">
        <is>
          <t>Medium</t>
        </is>
      </c>
      <c r="M4" s="2" t="inlineStr">
        <is>
          <t>Separate user devices from critical servers</t>
        </is>
      </c>
    </row>
    <row r="5" ht="62" customHeight="1">
      <c r="A5" s="2" t="inlineStr">
        <is>
          <t>R04</t>
        </is>
      </c>
      <c r="B5" s="2" t="inlineStr">
        <is>
          <t>Backups are encrypted, deleted, or unavailable during recovery</t>
        </is>
      </c>
      <c r="C5" s="2" t="inlineStr">
        <is>
          <t>Backup repositories and business data</t>
        </is>
      </c>
      <c r="D5" s="2" t="n">
        <v>3</v>
      </c>
      <c r="E5" s="2" t="n">
        <v>5</v>
      </c>
      <c r="F5" s="2">
        <f>D5*E5</f>
        <v/>
      </c>
      <c r="G5" s="2">
        <f>IF(F5&gt;=15,"High",IF(F5&gt;=6,"Medium","Low"))</f>
        <v/>
      </c>
      <c r="H5" s="2" t="inlineStr">
        <is>
          <t>Offline or immutable backups; separate backup credentials; routine restore tests</t>
        </is>
      </c>
      <c r="I5" s="2" t="inlineStr">
        <is>
          <t>Protect / Recover</t>
        </is>
      </c>
      <c r="J5" s="2" t="inlineStr">
        <is>
          <t>Backup Administrator</t>
        </is>
      </c>
      <c r="K5" s="2" t="inlineStr">
        <is>
          <t>30 days</t>
        </is>
      </c>
      <c r="L5" s="2" t="inlineStr">
        <is>
          <t>Low–Medium</t>
        </is>
      </c>
      <c r="M5" s="2" t="inlineStr">
        <is>
          <t>Perform and document a sample restore test</t>
        </is>
      </c>
    </row>
    <row r="6" ht="62" customHeight="1">
      <c r="A6" s="2" t="inlineStr">
        <is>
          <t>R05</t>
        </is>
      </c>
      <c r="B6" s="2" t="inlineStr">
        <is>
          <t>Excessive privileges enable broad system compromise</t>
        </is>
      </c>
      <c r="C6" s="2" t="inlineStr">
        <is>
          <t>Identity and access management</t>
        </is>
      </c>
      <c r="D6" s="2" t="n">
        <v>3</v>
      </c>
      <c r="E6" s="2" t="n">
        <v>4</v>
      </c>
      <c r="F6" s="2">
        <f>D6*E6</f>
        <v/>
      </c>
      <c r="G6" s="2">
        <f>IF(F6&gt;=15,"High",IF(F6&gt;=6,"Medium","Low"))</f>
        <v/>
      </c>
      <c r="H6" s="2" t="inlineStr">
        <is>
          <t>Least privilege; privileged account separation; periodic access reviews; MFA</t>
        </is>
      </c>
      <c r="I6" s="2" t="inlineStr">
        <is>
          <t>Govern / Protect</t>
        </is>
      </c>
      <c r="J6" s="2" t="inlineStr">
        <is>
          <t>IAM Administrator</t>
        </is>
      </c>
      <c r="K6" s="2" t="inlineStr">
        <is>
          <t>45 days</t>
        </is>
      </c>
      <c r="L6" s="2" t="inlineStr">
        <is>
          <t>Medium</t>
        </is>
      </c>
      <c r="M6" s="2" t="inlineStr">
        <is>
          <t>Review administrator and service accounts</t>
        </is>
      </c>
    </row>
    <row r="7" ht="62" customHeight="1">
      <c r="A7" s="2" t="inlineStr">
        <is>
          <t>R06</t>
        </is>
      </c>
      <c r="B7" s="2" t="inlineStr">
        <is>
          <t>Suspicious activity is not detected quickly</t>
        </is>
      </c>
      <c r="C7" s="2" t="inlineStr">
        <is>
          <t>Logs, endpoints, identity systems</t>
        </is>
      </c>
      <c r="D7" s="2" t="n">
        <v>3</v>
      </c>
      <c r="E7" s="2" t="n">
        <v>4</v>
      </c>
      <c r="F7" s="2">
        <f>D7*E7</f>
        <v/>
      </c>
      <c r="G7" s="2">
        <f>IF(F7&gt;=15,"High",IF(F7&gt;=6,"Medium","Low"))</f>
        <v/>
      </c>
      <c r="H7" s="2" t="inlineStr">
        <is>
          <t>Centralized logging; alerting; time synchronization; incident triage procedure</t>
        </is>
      </c>
      <c r="I7" s="2" t="inlineStr">
        <is>
          <t>Detect</t>
        </is>
      </c>
      <c r="J7" s="2" t="inlineStr">
        <is>
          <t>Security Analyst</t>
        </is>
      </c>
      <c r="K7" s="2" t="inlineStr">
        <is>
          <t>45 days</t>
        </is>
      </c>
      <c r="L7" s="2" t="inlineStr">
        <is>
          <t>Medium</t>
        </is>
      </c>
      <c r="M7" s="2" t="inlineStr">
        <is>
          <t>Collect endpoint, identity, and server logs</t>
        </is>
      </c>
    </row>
    <row r="8" ht="62" customHeight="1">
      <c r="A8" s="2" t="inlineStr">
        <is>
          <t>R07</t>
        </is>
      </c>
      <c r="B8" s="2" t="inlineStr">
        <is>
          <t>Incident response roles and communications are unclear</t>
        </is>
      </c>
      <c r="C8" s="2" t="inlineStr">
        <is>
          <t>Business operations and response team</t>
        </is>
      </c>
      <c r="D8" s="2" t="n">
        <v>3</v>
      </c>
      <c r="E8" s="2" t="n">
        <v>4</v>
      </c>
      <c r="F8" s="2">
        <f>D8*E8</f>
        <v/>
      </c>
      <c r="G8" s="2">
        <f>IF(F8&gt;=15,"High",IF(F8&gt;=6,"Medium","Low"))</f>
        <v/>
      </c>
      <c r="H8" s="2" t="inlineStr">
        <is>
          <t>Written incident response plan; contact list; tabletop exercise</t>
        </is>
      </c>
      <c r="I8" s="2" t="inlineStr">
        <is>
          <t>Govern / Respond</t>
        </is>
      </c>
      <c r="J8" s="2" t="inlineStr">
        <is>
          <t>Incident Response Coordinator</t>
        </is>
      </c>
      <c r="K8" s="2" t="inlineStr">
        <is>
          <t>30 days</t>
        </is>
      </c>
      <c r="L8" s="2" t="inlineStr">
        <is>
          <t>Medium</t>
        </is>
      </c>
      <c r="M8" s="2" t="inlineStr">
        <is>
          <t>Assign incident commander and escalation contacts</t>
        </is>
      </c>
    </row>
    <row r="9" ht="62" customHeight="1">
      <c r="A9" s="2" t="inlineStr">
        <is>
          <t>R08</t>
        </is>
      </c>
      <c r="B9" s="2" t="inlineStr">
        <is>
          <t>Sensitive data is exposed during or after an incident</t>
        </is>
      </c>
      <c r="C9" s="2" t="inlineStr">
        <is>
          <t>Customer and business data</t>
        </is>
      </c>
      <c r="D9" s="2" t="n">
        <v>2</v>
      </c>
      <c r="E9" s="2" t="n">
        <v>5</v>
      </c>
      <c r="F9" s="2">
        <f>D9*E9</f>
        <v/>
      </c>
      <c r="G9" s="2">
        <f>IF(F9&gt;=15,"High",IF(F9&gt;=6,"Medium","Low"))</f>
        <v/>
      </c>
      <c r="H9" s="2" t="inlineStr">
        <is>
          <t>Data classification; encryption; access controls; legal/privacy escalation path</t>
        </is>
      </c>
      <c r="I9" s="2" t="inlineStr">
        <is>
          <t>Identify / Protect / Respond</t>
        </is>
      </c>
      <c r="J9" s="2" t="inlineStr">
        <is>
          <t>Data Protection Owner</t>
        </is>
      </c>
      <c r="K9" s="2" t="inlineStr">
        <is>
          <t>60 days</t>
        </is>
      </c>
      <c r="L9" s="2" t="inlineStr">
        <is>
          <t>Medium</t>
        </is>
      </c>
      <c r="M9" s="2" t="inlineStr">
        <is>
          <t>Identify sensitive data stores and owners</t>
        </is>
      </c>
    </row>
    <row r="10" ht="62" customHeight="1">
      <c r="A10" s="2" t="inlineStr">
        <is>
          <t>R09</t>
        </is>
      </c>
      <c r="B10" s="2" t="inlineStr">
        <is>
          <t>Third-party remote access is abused</t>
        </is>
      </c>
      <c r="C10" s="2" t="inlineStr">
        <is>
          <t>Vendor access and remote administration</t>
        </is>
      </c>
      <c r="D10" s="2" t="n">
        <v>3</v>
      </c>
      <c r="E10" s="2" t="n">
        <v>4</v>
      </c>
      <c r="F10" s="2">
        <f>D10*E10</f>
        <v/>
      </c>
      <c r="G10" s="2">
        <f>IF(F10&gt;=15,"High",IF(F10&gt;=6,"Medium","Low"))</f>
        <v/>
      </c>
      <c r="H10" s="2" t="inlineStr">
        <is>
          <t>MFA; time-limited access; vendor reviews; approved remote-access gateway</t>
        </is>
      </c>
      <c r="I10" s="2" t="inlineStr">
        <is>
          <t>Govern / Protect</t>
        </is>
      </c>
      <c r="J10" s="2" t="inlineStr">
        <is>
          <t>Vendor Risk Owner</t>
        </is>
      </c>
      <c r="K10" s="2" t="inlineStr">
        <is>
          <t>60 days</t>
        </is>
      </c>
      <c r="L10" s="2" t="inlineStr">
        <is>
          <t>Medium</t>
        </is>
      </c>
      <c r="M10" s="2" t="inlineStr">
        <is>
          <t>Remove dormant vendor accounts</t>
        </is>
      </c>
    </row>
    <row r="11" ht="62" customHeight="1">
      <c r="A11" s="2" t="inlineStr">
        <is>
          <t>R10</t>
        </is>
      </c>
      <c r="B11" s="2" t="inlineStr">
        <is>
          <t>Recovery is delayed because restoration priorities are unknown</t>
        </is>
      </c>
      <c r="C11" s="2" t="inlineStr">
        <is>
          <t>Critical business services</t>
        </is>
      </c>
      <c r="D11" s="2" t="n">
        <v>3</v>
      </c>
      <c r="E11" s="2" t="n">
        <v>4</v>
      </c>
      <c r="F11" s="2">
        <f>D11*E11</f>
        <v/>
      </c>
      <c r="G11" s="2">
        <f>IF(F11&gt;=15,"High",IF(F11&gt;=6,"Medium","Low"))</f>
        <v/>
      </c>
      <c r="H11" s="2" t="inlineStr">
        <is>
          <t>Business impact analysis; recovery priorities; tested recovery-time objectives</t>
        </is>
      </c>
      <c r="I11" s="2" t="inlineStr">
        <is>
          <t>Recover / Govern</t>
        </is>
      </c>
      <c r="J11" s="2" t="inlineStr">
        <is>
          <t>Business Continuity Lead</t>
        </is>
      </c>
      <c r="K11" s="2" t="inlineStr">
        <is>
          <t>60 days</t>
        </is>
      </c>
      <c r="L11" s="2" t="inlineStr">
        <is>
          <t>Medium</t>
        </is>
      </c>
      <c r="M11" s="2" t="inlineStr">
        <is>
          <t>List critical services and recovery order</t>
        </is>
      </c>
    </row>
  </sheetData>
  <autoFilter ref="A1:M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5" customWidth="1" min="2" max="2"/>
  </cols>
  <sheetData>
    <row r="1">
      <c r="A1" s="3" t="inlineStr">
        <is>
          <t>Field</t>
        </is>
      </c>
      <c r="B1" s="3" t="inlineStr">
        <is>
          <t>Definition</t>
        </is>
      </c>
    </row>
    <row r="2" ht="42" customHeight="1">
      <c r="A2" s="4" t="inlineStr">
        <is>
          <t>Likelihood (1-5)</t>
        </is>
      </c>
      <c r="B2" s="4" t="inlineStr">
        <is>
          <t>1 Rare; 2 Unlikely; 3 Possible; 4 Likely; 5 Almost certain. Tailor ratings to evidence in a real assessment.</t>
        </is>
      </c>
    </row>
    <row r="3" ht="42" customHeight="1">
      <c r="A3" s="4" t="inlineStr">
        <is>
          <t>Impact (1-5)</t>
        </is>
      </c>
      <c r="B3" s="4" t="inlineStr">
        <is>
          <t>1 Insignificant; 2 Minor; 3 Moderate; 4 Major; 5 Severe. Consider service outage, data loss, financial and legal effects.</t>
        </is>
      </c>
    </row>
    <row r="4" ht="42" customHeight="1">
      <c r="A4" s="4" t="inlineStr">
        <is>
          <t>Inherent score</t>
        </is>
      </c>
      <c r="B4" s="4" t="inlineStr">
        <is>
          <t>Likelihood × Impact, before additional proposed treatment actions.</t>
        </is>
      </c>
    </row>
    <row r="5" ht="42" customHeight="1">
      <c r="A5" s="4" t="inlineStr">
        <is>
          <t>Level thresholds</t>
        </is>
      </c>
      <c r="B5" s="4" t="inlineStr">
        <is>
          <t>1–5 Low; 6–14 Medium; 15–25 High. Project-defined thresholds, not universal NIST ratings.</t>
        </is>
      </c>
    </row>
    <row r="6" ht="42" customHeight="1">
      <c r="A6" s="4" t="inlineStr">
        <is>
          <t>Residual risk</t>
        </is>
      </c>
      <c r="B6" s="4" t="inlineStr">
        <is>
          <t>Illustrative qualitative estimate after proposed controls. Validate after implementation and testing.</t>
        </is>
      </c>
    </row>
    <row r="7" ht="42" customHeight="1">
      <c r="A7" s="4" t="inlineStr">
        <is>
          <t>NIST CSF mapping</t>
        </is>
      </c>
      <c r="B7" s="4" t="inlineStr">
        <is>
          <t>High-level mapping to Govern, Identify, Protect, Detect, Respond, Recover; not a formal control-by-control compliance mapping.</t>
        </is>
      </c>
    </row>
    <row r="8" ht="42" customHeight="1">
      <c r="A8" s="4" t="inlineStr">
        <is>
          <t>Scope note</t>
        </is>
      </c>
      <c r="B8" s="4" t="inlineStr">
        <is>
          <t>Hypothetical example only. Validate assets, assumptions, scores, owners and dates with the actual organization.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2026-10-23T09:45:33Z</dcterms:created>
  <dcterms:modified xmlns:dcterms="http://purl.org/dc/terms/" xmlns:xsi="http://www.w3.org/2001/XMLSchema-instance" xsi:type="dcterms:W3CDTF">2026-10-23T09:45:33Z</dcterms:modified>
</cp:coreProperties>
</file>